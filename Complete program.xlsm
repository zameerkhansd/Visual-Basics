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11460"/>
  </bookViews>
  <sheets>
    <sheet name="Main Menu" sheetId="1" r:id="rId1"/>
    <sheet name="Order" sheetId="4" r:id="rId2"/>
  </sheets>
  <definedNames>
    <definedName name="M_Price">'Main Menu'!$C$9:$C$11</definedName>
    <definedName name="M_Size">'Main Menu'!$B$9:$B$11</definedName>
    <definedName name="Marquee">'Main Menu'!$B$8:$C$11</definedName>
    <definedName name="Meal">'Main Menu'!$B$13:$C$19</definedName>
    <definedName name="Meal_Prices">'Main Menu'!$C$13:$C$19</definedName>
    <definedName name="Meals">'Main Menu'!$B$13:$B$19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3" i="1" l="1"/>
  <c r="L23" i="1" l="1"/>
  <c r="T23" i="1"/>
  <c r="X23" i="1" s="1"/>
  <c r="O23" i="1" l="1"/>
  <c r="W29" i="1" l="1"/>
  <c r="P64" i="1" s="1"/>
  <c r="N29" i="1"/>
  <c r="P65" i="1" s="1"/>
  <c r="P66" i="1" l="1"/>
  <c r="P67" i="1" s="1"/>
</calcChain>
</file>

<file path=xl/sharedStrings.xml><?xml version="1.0" encoding="utf-8"?>
<sst xmlns="http://schemas.openxmlformats.org/spreadsheetml/2006/main" count="91" uniqueCount="61">
  <si>
    <t>Zara's Catering</t>
  </si>
  <si>
    <t>Orders</t>
  </si>
  <si>
    <t>Marquee</t>
  </si>
  <si>
    <t>Meals</t>
  </si>
  <si>
    <t>VAT</t>
  </si>
  <si>
    <t>Surname</t>
  </si>
  <si>
    <t>Postcode</t>
  </si>
  <si>
    <t>Marquee Menu</t>
  </si>
  <si>
    <t>Marquee Size</t>
  </si>
  <si>
    <t>Medium</t>
  </si>
  <si>
    <t xml:space="preserve">Large </t>
  </si>
  <si>
    <t>Cost Of first day</t>
  </si>
  <si>
    <t>Cost of Additional days</t>
  </si>
  <si>
    <t>£180 for each additional day</t>
  </si>
  <si>
    <t>£200 for each additional day</t>
  </si>
  <si>
    <t>Marquee Order</t>
  </si>
  <si>
    <t>Order Number</t>
  </si>
  <si>
    <t>Days marquee is for</t>
  </si>
  <si>
    <t>N/A</t>
  </si>
  <si>
    <t xml:space="preserve">Medium </t>
  </si>
  <si>
    <t>Total</t>
  </si>
  <si>
    <t>Customer Name</t>
  </si>
  <si>
    <t>Meal Type</t>
  </si>
  <si>
    <t>Meal</t>
  </si>
  <si>
    <t>Meat</t>
  </si>
  <si>
    <t>Fish</t>
  </si>
  <si>
    <t>Vegetarian</t>
  </si>
  <si>
    <t>Beef</t>
  </si>
  <si>
    <t>Chicken</t>
  </si>
  <si>
    <t>Salmon</t>
  </si>
  <si>
    <t>Seabass</t>
  </si>
  <si>
    <t>Curry</t>
  </si>
  <si>
    <t>Rissoto</t>
  </si>
  <si>
    <t>Meal Order</t>
  </si>
  <si>
    <t>Meals Menu</t>
  </si>
  <si>
    <t>Address</t>
  </si>
  <si>
    <t>Invoice</t>
  </si>
  <si>
    <t>Marquee Cost</t>
  </si>
  <si>
    <t>Cost of Marquee</t>
  </si>
  <si>
    <t>Cost of Meals</t>
  </si>
  <si>
    <t>Total Price for Marquee:</t>
  </si>
  <si>
    <t>Cost of the meal</t>
  </si>
  <si>
    <t>Quantity</t>
  </si>
  <si>
    <t>Order#</t>
  </si>
  <si>
    <t>Total Price for Meal:</t>
  </si>
  <si>
    <t>Marquee Size &amp; Cost</t>
  </si>
  <si>
    <t xml:space="preserve">Contact Number </t>
  </si>
  <si>
    <t>Meal Cost</t>
  </si>
  <si>
    <t>Vat</t>
  </si>
  <si>
    <t>Large</t>
  </si>
  <si>
    <t>wer</t>
  </si>
  <si>
    <t>ewrewew</t>
  </si>
  <si>
    <t>r</t>
  </si>
  <si>
    <t>Please View your Order summary Hear and Confirm it</t>
  </si>
  <si>
    <t xml:space="preserve"> </t>
  </si>
  <si>
    <t>Zameer</t>
  </si>
  <si>
    <t>Test</t>
  </si>
  <si>
    <t>e17 te5</t>
  </si>
  <si>
    <t>26 test road</t>
  </si>
  <si>
    <t>e17 234</t>
  </si>
  <si>
    <t>23 test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</si>
</sst>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£&quot;#,##0;[Red]\-&quot;£&quot;#,##0"/>
    <numFmt numFmtId="164" formatCode="&quot;£&quot;#,##0.00"/>
  </numFmts>
  <fonts count="19" x14ac:knownFonts="1">
    <font>
      <sz val="11"/>
      <color theme="1"/>
      <name val="Calibri"/>
      <family val="2"/>
      <scheme val="minor"/>
    </font>
    <font>
      <sz val="20"/>
      <color rgb="FFFFFF00"/>
      <name val="Calibri"/>
      <family val="2"/>
      <scheme val="minor"/>
    </font>
    <font>
      <sz val="20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FF00"/>
      <name val="Calibri"/>
      <family val="2"/>
      <scheme val="minor"/>
    </font>
    <font>
      <sz val="20"/>
      <color rgb="FF92D050"/>
      <name val="Calibri"/>
      <family val="2"/>
      <scheme val="minor"/>
    </font>
    <font>
      <sz val="11"/>
      <color theme="1"/>
      <name val="Adobe Gothic Std B"/>
      <family val="2"/>
      <charset val="128"/>
    </font>
    <font>
      <sz val="14"/>
      <color theme="1"/>
      <name val="Adobe Gothic Std B"/>
      <family val="2"/>
      <charset val="128"/>
    </font>
    <font>
      <sz val="11"/>
      <name val="Adobe Gothic Std B"/>
      <family val="2"/>
      <charset val="128"/>
    </font>
    <font>
      <sz val="26"/>
      <color theme="0"/>
      <name val="Adobe Gothic Std B"/>
      <family val="2"/>
      <charset val="128"/>
    </font>
    <font>
      <sz val="24"/>
      <color theme="0"/>
      <name val="Adobe Gothic Std B"/>
      <family val="2"/>
      <charset val="128"/>
    </font>
    <font>
      <b/>
      <sz val="13"/>
      <color theme="3"/>
      <name val="Adobe Gothic Std B"/>
      <family val="2"/>
      <charset val="128"/>
    </font>
    <font>
      <b/>
      <sz val="14"/>
      <color theme="3"/>
      <name val="Adobe Gothic Std B"/>
      <family val="2"/>
      <charset val="128"/>
    </font>
    <font>
      <sz val="12"/>
      <color theme="1"/>
      <name val="Adobe Gothic Std B"/>
      <family val="2"/>
      <charset val="128"/>
    </font>
    <font>
      <b/>
      <sz val="12"/>
      <color theme="3"/>
      <name val="Adobe Gothic Std B"/>
      <family val="2"/>
      <charset val="128"/>
    </font>
    <font>
      <b/>
      <sz val="11"/>
      <color theme="3"/>
      <name val="Adobe Gothic Std B"/>
      <family val="2"/>
      <charset val="128"/>
    </font>
    <font>
      <sz val="12"/>
      <name val="Adobe Gothic Std B"/>
      <family val="2"/>
      <charset val="128"/>
    </font>
    <font>
      <sz val="11"/>
      <color theme="4" tint="0.79998168889431442"/>
      <name val="Adobe Gothic Std B"/>
      <family val="2"/>
      <charset val="128"/>
    </font>
    <font>
      <sz val="48"/>
      <color theme="7" tint="0.39997558519241921"/>
      <name val="Algerian"/>
      <family val="5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3399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1" fillId="5" borderId="0" xfId="0" applyFont="1" applyFill="1" applyAlignment="1"/>
    <xf numFmtId="0" fontId="0" fillId="7" borderId="0" xfId="0" applyFill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1" xfId="0" applyFont="1" applyFill="1" applyBorder="1"/>
    <xf numFmtId="164" fontId="4" fillId="10" borderId="2" xfId="0" applyNumberFormat="1" applyFont="1" applyFill="1" applyBorder="1" applyAlignment="1">
      <alignment horizontal="center"/>
    </xf>
    <xf numFmtId="164" fontId="4" fillId="10" borderId="2" xfId="0" applyNumberFormat="1" applyFont="1" applyFill="1" applyBorder="1"/>
    <xf numFmtId="0" fontId="3" fillId="9" borderId="1" xfId="0" applyFont="1" applyFill="1" applyBorder="1" applyAlignment="1">
      <alignment horizontal="center"/>
    </xf>
    <xf numFmtId="0" fontId="3" fillId="9" borderId="1" xfId="0" applyFont="1" applyFill="1" applyBorder="1"/>
    <xf numFmtId="164" fontId="3" fillId="9" borderId="1" xfId="0" applyNumberFormat="1" applyFont="1" applyFill="1" applyBorder="1" applyAlignment="1">
      <alignment horizontal="center"/>
    </xf>
    <xf numFmtId="164" fontId="3" fillId="9" borderId="1" xfId="0" applyNumberFormat="1" applyFont="1" applyFill="1" applyBorder="1"/>
    <xf numFmtId="0" fontId="6" fillId="3" borderId="0" xfId="0" applyFont="1" applyFill="1"/>
    <xf numFmtId="0" fontId="6" fillId="3" borderId="1" xfId="0" applyFont="1" applyFill="1" applyBorder="1"/>
    <xf numFmtId="0" fontId="8" fillId="3" borderId="0" xfId="0" applyFont="1" applyFill="1" applyBorder="1"/>
    <xf numFmtId="6" fontId="8" fillId="3" borderId="0" xfId="0" applyNumberFormat="1" applyFont="1" applyFill="1" applyBorder="1"/>
    <xf numFmtId="164" fontId="8" fillId="3" borderId="0" xfId="0" applyNumberFormat="1" applyFont="1" applyFill="1" applyBorder="1"/>
    <xf numFmtId="0" fontId="14" fillId="4" borderId="16" xfId="0" applyFont="1" applyFill="1" applyBorder="1" applyAlignment="1"/>
    <xf numFmtId="0" fontId="14" fillId="4" borderId="18" xfId="0" applyFont="1" applyFill="1" applyBorder="1" applyAlignment="1"/>
    <xf numFmtId="0" fontId="14" fillId="4" borderId="39" xfId="0" applyFont="1" applyFill="1" applyBorder="1" applyAlignment="1">
      <alignment vertical="center"/>
    </xf>
    <xf numFmtId="0" fontId="14" fillId="4" borderId="6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6" fontId="6" fillId="4" borderId="3" xfId="0" applyNumberFormat="1" applyFont="1" applyFill="1" applyBorder="1" applyAlignment="1">
      <alignment horizontal="center" vertical="center"/>
    </xf>
    <xf numFmtId="0" fontId="14" fillId="4" borderId="39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6" fillId="4" borderId="39" xfId="0" applyFont="1" applyFill="1" applyBorder="1" applyAlignment="1">
      <alignment horizontal="center"/>
    </xf>
    <xf numFmtId="0" fontId="13" fillId="4" borderId="43" xfId="0" applyFont="1" applyFill="1" applyBorder="1" applyAlignment="1">
      <alignment vertical="center"/>
    </xf>
    <xf numFmtId="0" fontId="13" fillId="4" borderId="0" xfId="0" applyFont="1" applyFill="1" applyBorder="1" applyAlignment="1">
      <alignment vertical="center"/>
    </xf>
    <xf numFmtId="6" fontId="7" fillId="4" borderId="0" xfId="0" applyNumberFormat="1" applyFont="1" applyFill="1" applyBorder="1" applyAlignment="1"/>
    <xf numFmtId="0" fontId="13" fillId="4" borderId="44" xfId="0" applyFont="1" applyFill="1" applyBorder="1" applyAlignment="1">
      <alignment vertical="center"/>
    </xf>
    <xf numFmtId="0" fontId="13" fillId="4" borderId="11" xfId="0" applyFont="1" applyFill="1" applyBorder="1" applyAlignment="1">
      <alignment vertical="center"/>
    </xf>
    <xf numFmtId="0" fontId="6" fillId="9" borderId="0" xfId="0" applyFont="1" applyFill="1"/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6" fontId="7" fillId="4" borderId="2" xfId="0" applyNumberFormat="1" applyFont="1" applyFill="1" applyBorder="1" applyAlignment="1">
      <alignment horizontal="center" vertical="center"/>
    </xf>
    <xf numFmtId="6" fontId="7" fillId="4" borderId="4" xfId="0" applyNumberFormat="1" applyFont="1" applyFill="1" applyBorder="1" applyAlignment="1">
      <alignment horizontal="center" vertical="center"/>
    </xf>
    <xf numFmtId="6" fontId="7" fillId="4" borderId="3" xfId="0" applyNumberFormat="1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40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6" fontId="7" fillId="4" borderId="35" xfId="0" applyNumberFormat="1" applyFont="1" applyFill="1" applyBorder="1" applyAlignment="1">
      <alignment horizontal="center" vertical="center"/>
    </xf>
    <xf numFmtId="6" fontId="7" fillId="4" borderId="34" xfId="0" applyNumberFormat="1" applyFont="1" applyFill="1" applyBorder="1" applyAlignment="1">
      <alignment horizontal="center" vertical="center"/>
    </xf>
    <xf numFmtId="6" fontId="7" fillId="4" borderId="40" xfId="0" applyNumberFormat="1" applyFont="1" applyFill="1" applyBorder="1" applyAlignment="1">
      <alignment horizontal="center" vertical="center"/>
    </xf>
    <xf numFmtId="6" fontId="7" fillId="4" borderId="33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64" fontId="7" fillId="4" borderId="2" xfId="0" applyNumberFormat="1" applyFont="1" applyFill="1" applyBorder="1" applyAlignment="1">
      <alignment horizontal="center" vertical="top"/>
    </xf>
    <xf numFmtId="164" fontId="7" fillId="4" borderId="4" xfId="0" applyNumberFormat="1" applyFont="1" applyFill="1" applyBorder="1" applyAlignment="1">
      <alignment horizontal="center" vertical="top"/>
    </xf>
    <xf numFmtId="164" fontId="7" fillId="4" borderId="20" xfId="0" applyNumberFormat="1" applyFont="1" applyFill="1" applyBorder="1" applyAlignment="1">
      <alignment horizontal="center" vertical="top"/>
    </xf>
    <xf numFmtId="0" fontId="6" fillId="4" borderId="31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164" fontId="14" fillId="4" borderId="2" xfId="0" applyNumberFormat="1" applyFont="1" applyFill="1" applyBorder="1" applyAlignment="1">
      <alignment horizontal="center" vertical="center"/>
    </xf>
    <xf numFmtId="164" fontId="14" fillId="4" borderId="20" xfId="0" applyNumberFormat="1" applyFont="1" applyFill="1" applyBorder="1" applyAlignment="1">
      <alignment horizontal="center" vertical="center"/>
    </xf>
    <xf numFmtId="164" fontId="14" fillId="4" borderId="3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64" fontId="7" fillId="4" borderId="24" xfId="0" applyNumberFormat="1" applyFont="1" applyFill="1" applyBorder="1" applyAlignment="1">
      <alignment horizontal="center" vertical="top"/>
    </xf>
    <xf numFmtId="164" fontId="7" fillId="4" borderId="42" xfId="0" applyNumberFormat="1" applyFont="1" applyFill="1" applyBorder="1" applyAlignment="1">
      <alignment horizontal="center" vertical="top"/>
    </xf>
    <xf numFmtId="164" fontId="7" fillId="4" borderId="25" xfId="0" applyNumberFormat="1" applyFont="1" applyFill="1" applyBorder="1" applyAlignment="1">
      <alignment horizontal="center" vertical="top"/>
    </xf>
    <xf numFmtId="6" fontId="7" fillId="4" borderId="24" xfId="0" applyNumberFormat="1" applyFont="1" applyFill="1" applyBorder="1" applyAlignment="1">
      <alignment horizontal="center" vertical="center"/>
    </xf>
    <xf numFmtId="6" fontId="7" fillId="4" borderId="42" xfId="0" applyNumberFormat="1" applyFont="1" applyFill="1" applyBorder="1" applyAlignment="1">
      <alignment horizontal="center" vertical="center"/>
    </xf>
    <xf numFmtId="6" fontId="7" fillId="4" borderId="23" xfId="0" applyNumberFormat="1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9" borderId="43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10" fillId="9" borderId="11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6" fontId="15" fillId="4" borderId="2" xfId="0" applyNumberFormat="1" applyFont="1" applyFill="1" applyBorder="1" applyAlignment="1">
      <alignment horizontal="center"/>
    </xf>
    <xf numFmtId="0" fontId="15" fillId="4" borderId="20" xfId="0" applyFont="1" applyFill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21" xfId="0" applyFont="1" applyFill="1" applyBorder="1" applyAlignment="1">
      <alignment horizontal="center" vertical="center"/>
    </xf>
    <xf numFmtId="6" fontId="7" fillId="4" borderId="5" xfId="0" applyNumberFormat="1" applyFont="1" applyFill="1" applyBorder="1" applyAlignment="1">
      <alignment horizontal="center" vertical="center"/>
    </xf>
    <xf numFmtId="6" fontId="7" fillId="4" borderId="32" xfId="0" applyNumberFormat="1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/>
    </xf>
    <xf numFmtId="0" fontId="18" fillId="9" borderId="0" xfId="0" applyFont="1" applyFill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8" xfId="0" applyFont="1" applyFill="1" applyBorder="1" applyAlignment="1">
      <alignment horizontal="center"/>
    </xf>
    <xf numFmtId="0" fontId="12" fillId="4" borderId="19" xfId="0" applyFont="1" applyFill="1" applyBorder="1" applyAlignment="1">
      <alignment horizontal="center"/>
    </xf>
    <xf numFmtId="0" fontId="9" fillId="9" borderId="7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0" fontId="9" fillId="9" borderId="11" xfId="0" applyFont="1" applyFill="1" applyBorder="1" applyAlignment="1">
      <alignment horizontal="center"/>
    </xf>
    <xf numFmtId="0" fontId="9" fillId="9" borderId="12" xfId="0" applyFont="1" applyFill="1" applyBorder="1" applyAlignment="1">
      <alignment horizontal="center"/>
    </xf>
    <xf numFmtId="0" fontId="9" fillId="9" borderId="1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164" fontId="7" fillId="4" borderId="44" xfId="0" applyNumberFormat="1" applyFont="1" applyFill="1" applyBorder="1" applyAlignment="1">
      <alignment horizontal="center"/>
    </xf>
    <xf numFmtId="6" fontId="7" fillId="4" borderId="1" xfId="0" applyNumberFormat="1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0" fontId="10" fillId="9" borderId="37" xfId="0" applyFont="1" applyFill="1" applyBorder="1" applyAlignment="1">
      <alignment horizontal="center"/>
    </xf>
    <xf numFmtId="0" fontId="10" fillId="9" borderId="29" xfId="0" applyFont="1" applyFill="1" applyBorder="1" applyAlignment="1">
      <alignment horizontal="center"/>
    </xf>
    <xf numFmtId="0" fontId="10" fillId="9" borderId="38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164" fontId="6" fillId="4" borderId="2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42" xfId="0" applyFont="1" applyFill="1" applyBorder="1" applyAlignment="1">
      <alignment horizontal="center"/>
    </xf>
    <xf numFmtId="0" fontId="6" fillId="4" borderId="25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4" fillId="4" borderId="18" xfId="0" applyFont="1" applyFill="1" applyBorder="1" applyAlignment="1">
      <alignment horizontal="center"/>
    </xf>
    <xf numFmtId="0" fontId="14" fillId="4" borderId="19" xfId="0" applyFont="1" applyFill="1" applyBorder="1" applyAlignment="1">
      <alignment horizontal="center"/>
    </xf>
    <xf numFmtId="0" fontId="2" fillId="8" borderId="45" xfId="0" applyFont="1" applyFill="1" applyBorder="1" applyAlignment="1">
      <alignment horizontal="center" vertical="center"/>
    </xf>
    <xf numFmtId="0" fontId="5" fillId="9" borderId="45" xfId="0" applyFont="1" applyFill="1" applyBorder="1" applyAlignment="1">
      <alignment horizontal="center" vertical="center"/>
    </xf>
    <xf numFmtId="0" fontId="1" fillId="8" borderId="45" xfId="0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164" fontId="6" fillId="4" borderId="2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99"/>
      <color rgb="FF006699"/>
      <color rgb="FFFF2F2F"/>
      <color rgb="FFD5EAFF"/>
      <color rgb="FF000066"/>
      <color rgb="FF006666"/>
      <color rgb="FF009999"/>
      <color rgb="FF29FF8A"/>
      <color rgb="FFA4FECD"/>
      <color rgb="FF60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430305</xdr:colOff>
      <xdr:row>35</xdr:row>
      <xdr:rowOff>25769</xdr:rowOff>
    </xdr:from>
    <xdr:to>
      <xdr:col>20</xdr:col>
      <xdr:colOff>331693</xdr:colOff>
      <xdr:row>39</xdr:row>
      <xdr:rowOff>0</xdr:rowOff>
    </xdr:to>
    <xdr:sp macro="[0]!Edit_CustomerDetai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87905" y="2114545"/>
          <a:ext cx="5513294" cy="691408"/>
        </a:xfrm>
        <a:prstGeom prst="roundRect">
          <a:avLst>
            <a:gd name="adj" fmla="val 24081"/>
          </a:avLst>
        </a:prstGeom>
        <a:solidFill>
          <a:srgbClr val="00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400"/>
            <a:t>Customer</a:t>
          </a:r>
          <a:r>
            <a:rPr lang="en-GB" sz="4400" baseline="0"/>
            <a:t> Details</a:t>
          </a:r>
          <a:endParaRPr lang="en-GB" sz="4400"/>
        </a:p>
      </xdr:txBody>
    </xdr:sp>
    <xdr:clientData/>
  </xdr:twoCellAnchor>
  <xdr:twoCellAnchor>
    <xdr:from>
      <xdr:col>13</xdr:col>
      <xdr:colOff>390772</xdr:colOff>
      <xdr:row>2</xdr:row>
      <xdr:rowOff>125162</xdr:rowOff>
    </xdr:from>
    <xdr:to>
      <xdr:col>20</xdr:col>
      <xdr:colOff>193431</xdr:colOff>
      <xdr:row>5</xdr:row>
      <xdr:rowOff>158778</xdr:rowOff>
    </xdr:to>
    <xdr:sp macro="[0]!_xludf.Unhid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75387" y="1126508"/>
          <a:ext cx="4076698" cy="595347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2800"/>
            <a:t>View Marquee</a:t>
          </a:r>
          <a:r>
            <a:rPr lang="en-GB" sz="2800" baseline="0"/>
            <a:t> And Meal Menu</a:t>
          </a:r>
          <a:endParaRPr lang="en-GB" sz="2800"/>
        </a:p>
      </xdr:txBody>
    </xdr:sp>
    <xdr:clientData/>
  </xdr:twoCellAnchor>
  <xdr:twoCellAnchor>
    <xdr:from>
      <xdr:col>11</xdr:col>
      <xdr:colOff>385477</xdr:colOff>
      <xdr:row>53</xdr:row>
      <xdr:rowOff>170883</xdr:rowOff>
    </xdr:from>
    <xdr:to>
      <xdr:col>20</xdr:col>
      <xdr:colOff>295835</xdr:colOff>
      <xdr:row>57</xdr:row>
      <xdr:rowOff>98610</xdr:rowOff>
    </xdr:to>
    <xdr:sp macro="[0]!Unhide_OrderSummary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95477" y="3165095"/>
          <a:ext cx="5513299" cy="653868"/>
        </a:xfrm>
        <a:prstGeom prst="roundRect">
          <a:avLst>
            <a:gd name="adj" fmla="val 21971"/>
          </a:avLst>
        </a:prstGeom>
        <a:solidFill>
          <a:srgbClr val="00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400"/>
            <a:t>Order Summary</a:t>
          </a:r>
        </a:p>
      </xdr:txBody>
    </xdr:sp>
    <xdr:clientData/>
  </xdr:twoCellAnchor>
  <xdr:twoCellAnchor>
    <xdr:from>
      <xdr:col>27</xdr:col>
      <xdr:colOff>371617</xdr:colOff>
      <xdr:row>0</xdr:row>
      <xdr:rowOff>143995</xdr:rowOff>
    </xdr:from>
    <xdr:to>
      <xdr:col>29</xdr:col>
      <xdr:colOff>238125</xdr:colOff>
      <xdr:row>0</xdr:row>
      <xdr:rowOff>729258</xdr:rowOff>
    </xdr:to>
    <xdr:sp macro="[0]!ExitApp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5135367" y="143995"/>
          <a:ext cx="1057133" cy="58526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4000"/>
            <a:t>Exit</a:t>
          </a:r>
          <a:endParaRPr lang="en-GB" sz="2400"/>
        </a:p>
      </xdr:txBody>
    </xdr:sp>
    <xdr:clientData/>
  </xdr:twoCellAnchor>
  <xdr:twoCellAnchor>
    <xdr:from>
      <xdr:col>14</xdr:col>
      <xdr:colOff>369793</xdr:colOff>
      <xdr:row>31</xdr:row>
      <xdr:rowOff>156884</xdr:rowOff>
    </xdr:from>
    <xdr:to>
      <xdr:col>17</xdr:col>
      <xdr:colOff>431602</xdr:colOff>
      <xdr:row>34</xdr:row>
      <xdr:rowOff>29766</xdr:rowOff>
    </xdr:to>
    <xdr:sp macro="[0]!Hide_Menu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903348" y="8044775"/>
          <a:ext cx="1847746" cy="408663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en-GB" sz="2000"/>
            <a:t>Complete</a:t>
          </a:r>
          <a:r>
            <a:rPr lang="en-GB" sz="2000" baseline="0"/>
            <a:t> order</a:t>
          </a:r>
          <a:endParaRPr lang="en-GB" sz="2000"/>
        </a:p>
      </xdr:txBody>
    </xdr:sp>
    <xdr:clientData/>
  </xdr:twoCellAnchor>
  <xdr:twoCellAnchor>
    <xdr:from>
      <xdr:col>7</xdr:col>
      <xdr:colOff>582907</xdr:colOff>
      <xdr:row>23</xdr:row>
      <xdr:rowOff>12211</xdr:rowOff>
    </xdr:from>
    <xdr:to>
      <xdr:col>16</xdr:col>
      <xdr:colOff>12212</xdr:colOff>
      <xdr:row>28</xdr:row>
      <xdr:rowOff>0</xdr:rowOff>
    </xdr:to>
    <xdr:sp macro="[0]!AddMarqueeOrder1" textlink="">
      <xdr:nvSpPr>
        <xdr:cNvPr id="29" name="Rectangle 28">
          <a:extLst>
            <a:ext uri="{FF2B5EF4-FFF2-40B4-BE49-F238E27FC236}">
              <a16:creationId xmlns:a16="http://schemas.microsoft.com/office/drawing/2014/main" id="{68523B6E-415A-4FB3-BB18-B7FAD1F66BC1}"/>
            </a:ext>
          </a:extLst>
        </xdr:cNvPr>
        <xdr:cNvSpPr/>
      </xdr:nvSpPr>
      <xdr:spPr>
        <a:xfrm>
          <a:off x="1755215" y="5385288"/>
          <a:ext cx="4997766" cy="1037981"/>
        </a:xfrm>
        <a:prstGeom prst="rect">
          <a:avLst/>
        </a:prstGeom>
        <a:solidFill>
          <a:srgbClr val="003399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Edit</a:t>
          </a:r>
        </a:p>
      </xdr:txBody>
    </xdr:sp>
    <xdr:clientData/>
  </xdr:twoCellAnchor>
  <xdr:twoCellAnchor>
    <xdr:from>
      <xdr:col>15</xdr:col>
      <xdr:colOff>125506</xdr:colOff>
      <xdr:row>67</xdr:row>
      <xdr:rowOff>71717</xdr:rowOff>
    </xdr:from>
    <xdr:to>
      <xdr:col>18</xdr:col>
      <xdr:colOff>537883</xdr:colOff>
      <xdr:row>68</xdr:row>
      <xdr:rowOff>116540</xdr:rowOff>
    </xdr:to>
    <xdr:sp macro="[0]!Confirm_Purchase" textlink="">
      <xdr:nvSpPr>
        <xdr:cNvPr id="32" name="Rectangle 31">
          <a:extLst>
            <a:ext uri="{FF2B5EF4-FFF2-40B4-BE49-F238E27FC236}">
              <a16:creationId xmlns:a16="http://schemas.microsoft.com/office/drawing/2014/main" id="{FD700B15-B459-4A0E-BD37-CB70A4EE06C9}"/>
            </a:ext>
          </a:extLst>
        </xdr:cNvPr>
        <xdr:cNvSpPr/>
      </xdr:nvSpPr>
      <xdr:spPr>
        <a:xfrm>
          <a:off x="6427694" y="11358282"/>
          <a:ext cx="2151530" cy="277905"/>
        </a:xfrm>
        <a:prstGeom prst="rect">
          <a:avLst/>
        </a:prstGeom>
        <a:solidFill>
          <a:srgbClr val="00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Confirm</a:t>
          </a:r>
          <a:r>
            <a:rPr lang="en-GB" sz="1400" baseline="0"/>
            <a:t> Purchase</a:t>
          </a:r>
          <a:endParaRPr lang="en-GB" sz="1400"/>
        </a:p>
      </xdr:txBody>
    </xdr:sp>
    <xdr:clientData/>
  </xdr:twoCellAnchor>
  <xdr:twoCellAnchor>
    <xdr:from>
      <xdr:col>13</xdr:col>
      <xdr:colOff>514350</xdr:colOff>
      <xdr:row>67</xdr:row>
      <xdr:rowOff>71717</xdr:rowOff>
    </xdr:from>
    <xdr:to>
      <xdr:col>14</xdr:col>
      <xdr:colOff>457209</xdr:colOff>
      <xdr:row>68</xdr:row>
      <xdr:rowOff>116541</xdr:rowOff>
    </xdr:to>
    <xdr:sp macro="[0]!Hide_OrderSummary" textlink="">
      <xdr:nvSpPr>
        <xdr:cNvPr id="33" name="Rectangle 32">
          <a:extLst>
            <a:ext uri="{FF2B5EF4-FFF2-40B4-BE49-F238E27FC236}">
              <a16:creationId xmlns:a16="http://schemas.microsoft.com/office/drawing/2014/main" id="{0A3883BF-B766-4AA3-8F19-8B08EB61E186}"/>
            </a:ext>
          </a:extLst>
        </xdr:cNvPr>
        <xdr:cNvSpPr/>
      </xdr:nvSpPr>
      <xdr:spPr>
        <a:xfrm>
          <a:off x="5419725" y="14406842"/>
          <a:ext cx="628659" cy="282949"/>
        </a:xfrm>
        <a:prstGeom prst="rect">
          <a:avLst/>
        </a:prstGeom>
        <a:solidFill>
          <a:srgbClr val="00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/>
            <a:t>Close</a:t>
          </a:r>
          <a:endParaRPr lang="en-GB" sz="1200"/>
        </a:p>
      </xdr:txBody>
    </xdr:sp>
    <xdr:clientData/>
  </xdr:twoCellAnchor>
  <xdr:twoCellAnchor>
    <xdr:from>
      <xdr:col>5</xdr:col>
      <xdr:colOff>59531</xdr:colOff>
      <xdr:row>7</xdr:row>
      <xdr:rowOff>12587</xdr:rowOff>
    </xdr:from>
    <xdr:to>
      <xdr:col>7</xdr:col>
      <xdr:colOff>520899</xdr:colOff>
      <xdr:row>14</xdr:row>
      <xdr:rowOff>133945</xdr:rowOff>
    </xdr:to>
    <xdr:sp macro="[0]!AddMarqueeOrder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24F007-0E53-4B5D-9AF0-7B6C6240405D}"/>
            </a:ext>
          </a:extLst>
        </xdr:cNvPr>
        <xdr:cNvSpPr/>
      </xdr:nvSpPr>
      <xdr:spPr>
        <a:xfrm>
          <a:off x="59531" y="1947353"/>
          <a:ext cx="1651993" cy="1550108"/>
        </a:xfrm>
        <a:prstGeom prst="roundRect">
          <a:avLst>
            <a:gd name="adj" fmla="val 29070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2400"/>
            <a:t>Add Marquee Order</a:t>
          </a:r>
        </a:p>
      </xdr:txBody>
    </xdr:sp>
    <xdr:clientData/>
  </xdr:twoCellAnchor>
  <xdr:twoCellAnchor>
    <xdr:from>
      <xdr:col>25</xdr:col>
      <xdr:colOff>161009</xdr:colOff>
      <xdr:row>7</xdr:row>
      <xdr:rowOff>115623</xdr:rowOff>
    </xdr:from>
    <xdr:to>
      <xdr:col>27</xdr:col>
      <xdr:colOff>461367</xdr:colOff>
      <xdr:row>16</xdr:row>
      <xdr:rowOff>119063</xdr:rowOff>
    </xdr:to>
    <xdr:sp macro="[0]!Module6.AddMealOrder1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1FCC235E-A293-4152-9FD7-6C3E632B63C2}"/>
            </a:ext>
          </a:extLst>
        </xdr:cNvPr>
        <xdr:cNvSpPr/>
      </xdr:nvSpPr>
      <xdr:spPr>
        <a:xfrm>
          <a:off x="12335150" y="2050389"/>
          <a:ext cx="1490983" cy="1848908"/>
        </a:xfrm>
        <a:prstGeom prst="roundRect">
          <a:avLst>
            <a:gd name="adj" fmla="val 23644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2400"/>
            <a:t>Add Meal Order</a:t>
          </a:r>
        </a:p>
      </xdr:txBody>
    </xdr:sp>
    <xdr:clientData/>
  </xdr:twoCellAnchor>
  <xdr:twoCellAnchor>
    <xdr:from>
      <xdr:col>17</xdr:col>
      <xdr:colOff>906</xdr:colOff>
      <xdr:row>22</xdr:row>
      <xdr:rowOff>226588</xdr:rowOff>
    </xdr:from>
    <xdr:to>
      <xdr:col>25</xdr:col>
      <xdr:colOff>12212</xdr:colOff>
      <xdr:row>28</xdr:row>
      <xdr:rowOff>12212</xdr:rowOff>
    </xdr:to>
    <xdr:sp macro="[0]!AddMealOrder1" textlink="">
      <xdr:nvSpPr>
        <xdr:cNvPr id="25" name="Rectangle 24">
          <a:extLst>
            <a:ext uri="{FF2B5EF4-FFF2-40B4-BE49-F238E27FC236}">
              <a16:creationId xmlns:a16="http://schemas.microsoft.com/office/drawing/2014/main" id="{065389AC-66A5-4634-B1FF-DB81C3D4D17C}"/>
            </a:ext>
          </a:extLst>
        </xdr:cNvPr>
        <xdr:cNvSpPr/>
      </xdr:nvSpPr>
      <xdr:spPr>
        <a:xfrm>
          <a:off x="7327829" y="5343223"/>
          <a:ext cx="4737171" cy="1092258"/>
        </a:xfrm>
        <a:prstGeom prst="rect">
          <a:avLst/>
        </a:prstGeom>
        <a:solidFill>
          <a:srgbClr val="003399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Edit</a:t>
          </a:r>
        </a:p>
      </xdr:txBody>
    </xdr:sp>
    <xdr:clientData/>
  </xdr:twoCellAnchor>
  <xdr:twoCellAnchor>
    <xdr:from>
      <xdr:col>8</xdr:col>
      <xdr:colOff>15240</xdr:colOff>
      <xdr:row>29</xdr:row>
      <xdr:rowOff>15240</xdr:rowOff>
    </xdr:from>
    <xdr:to>
      <xdr:col>15</xdr:col>
      <xdr:colOff>601980</xdr:colOff>
      <xdr:row>29</xdr:row>
      <xdr:rowOff>167640</xdr:rowOff>
    </xdr:to>
    <xdr:sp macro="[0]!Reset_MarqueeV2" textlink="">
      <xdr:nvSpPr>
        <xdr:cNvPr id="16" name="Rectangle 15">
          <a:extLst>
            <a:ext uri="{FF2B5EF4-FFF2-40B4-BE49-F238E27FC236}">
              <a16:creationId xmlns:a16="http://schemas.microsoft.com/office/drawing/2014/main" id="{1EF6F9E2-EAE9-460B-AEC5-9CD1B5BAAAB1}"/>
            </a:ext>
          </a:extLst>
        </xdr:cNvPr>
        <xdr:cNvSpPr/>
      </xdr:nvSpPr>
      <xdr:spPr>
        <a:xfrm>
          <a:off x="1844040" y="6614160"/>
          <a:ext cx="5135880" cy="152400"/>
        </a:xfrm>
        <a:prstGeom prst="rect">
          <a:avLst/>
        </a:prstGeom>
        <a:solidFill>
          <a:srgbClr val="FF0000">
            <a:alpha val="86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Reset</a:t>
          </a:r>
        </a:p>
      </xdr:txBody>
    </xdr:sp>
    <xdr:clientData/>
  </xdr:twoCellAnchor>
  <xdr:twoCellAnchor>
    <xdr:from>
      <xdr:col>17</xdr:col>
      <xdr:colOff>15240</xdr:colOff>
      <xdr:row>29</xdr:row>
      <xdr:rowOff>7620</xdr:rowOff>
    </xdr:from>
    <xdr:to>
      <xdr:col>24</xdr:col>
      <xdr:colOff>594360</xdr:colOff>
      <xdr:row>29</xdr:row>
      <xdr:rowOff>167640</xdr:rowOff>
    </xdr:to>
    <xdr:sp macro="[0]!Reset_Meal" textlink="">
      <xdr:nvSpPr>
        <xdr:cNvPr id="35" name="Rectangle 34">
          <a:extLst>
            <a:ext uri="{FF2B5EF4-FFF2-40B4-BE49-F238E27FC236}">
              <a16:creationId xmlns:a16="http://schemas.microsoft.com/office/drawing/2014/main" id="{FE0847A6-4BDE-4251-85D8-9FFA06F04BEA}"/>
            </a:ext>
          </a:extLst>
        </xdr:cNvPr>
        <xdr:cNvSpPr/>
      </xdr:nvSpPr>
      <xdr:spPr>
        <a:xfrm>
          <a:off x="7612380" y="6606540"/>
          <a:ext cx="4853940" cy="160020"/>
        </a:xfrm>
        <a:prstGeom prst="rect">
          <a:avLst/>
        </a:prstGeom>
        <a:solidFill>
          <a:srgbClr val="FF0000">
            <a:alpha val="86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externalLinkPath" Target="file:///\\studentsvr\User$\20172526\Documents\Level%203%20year%202\Term%202\Unit%2014%20Event%20driven%20programming\Assignment%202\Assigment%202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47"/>
  <sheetViews>
    <sheetView tabSelected="1" topLeftCell="M7" zoomScale="91" zoomScaleNormal="91" workbookViewId="0">
      <selection activeCell="Z59" sqref="Z59"/>
    </sheetView>
  </sheetViews>
  <sheetFormatPr defaultColWidth="0" defaultRowHeight="15" zeroHeight="1" x14ac:dyDescent="0.25"/>
  <cols>
    <col min="1" max="5" width="8.85546875" style="13" hidden="1" customWidth="1"/>
    <col min="6" max="10" width="8.85546875" style="13" customWidth="1"/>
    <col min="11" max="11" width="10.85546875" style="13" customWidth="1"/>
    <col min="12" max="12" width="15.85546875" style="13" customWidth="1"/>
    <col min="13" max="13" width="9.28515625" style="13" customWidth="1"/>
    <col min="14" max="14" width="17.140625" style="13" customWidth="1"/>
    <col min="15" max="17" width="8.85546875" style="13" customWidth="1"/>
    <col min="18" max="19" width="11.140625" style="13" customWidth="1"/>
    <col min="20" max="20" width="8.85546875" style="13" customWidth="1"/>
    <col min="21" max="21" width="12.7109375" style="13" customWidth="1"/>
    <col min="22" max="22" width="6.7109375" style="13" customWidth="1"/>
    <col min="23" max="23" width="10.28515625" style="13" customWidth="1"/>
    <col min="24" max="30" width="8.85546875" style="13" customWidth="1"/>
    <col min="31" max="31" width="8.28515625" style="13" hidden="1" customWidth="1"/>
    <col min="32" max="16384" width="8.85546875" style="13" hidden="1"/>
  </cols>
  <sheetData>
    <row r="1" spans="1:31" ht="61.15" customHeight="1" x14ac:dyDescent="1.05">
      <c r="A1" s="91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32"/>
    </row>
    <row r="2" spans="1:31" ht="18" customHeight="1" x14ac:dyDescent="0.3">
      <c r="A2" s="92" t="s">
        <v>55</v>
      </c>
      <c r="B2" s="92"/>
      <c r="C2" s="92"/>
      <c r="D2" s="92"/>
      <c r="E2" s="92"/>
    </row>
    <row r="3" spans="1:31" ht="15" customHeight="1" x14ac:dyDescent="0.25">
      <c r="A3" s="104" t="s">
        <v>50</v>
      </c>
      <c r="B3" s="94"/>
      <c r="C3" s="14" t="s">
        <v>51</v>
      </c>
      <c r="D3" s="14" t="s">
        <v>52</v>
      </c>
      <c r="E3" s="14" t="s">
        <v>50</v>
      </c>
      <c r="AE3" s="13" t="s">
        <v>19</v>
      </c>
    </row>
    <row r="4" spans="1:31" ht="14.45" customHeight="1" x14ac:dyDescent="0.25">
      <c r="A4" s="93" t="s">
        <v>2</v>
      </c>
      <c r="B4" s="94"/>
      <c r="C4" s="14"/>
      <c r="D4" s="14"/>
      <c r="E4" s="14"/>
      <c r="AE4" s="13" t="s">
        <v>49</v>
      </c>
    </row>
    <row r="5" spans="1:31" ht="14.45" customHeight="1" x14ac:dyDescent="0.25">
      <c r="A5" s="93" t="s">
        <v>3</v>
      </c>
      <c r="B5" s="94"/>
      <c r="C5" s="14"/>
      <c r="D5" s="14"/>
      <c r="E5" s="14"/>
      <c r="AE5" s="13" t="s">
        <v>18</v>
      </c>
    </row>
    <row r="6" spans="1:31" x14ac:dyDescent="0.25">
      <c r="A6" s="93" t="s">
        <v>48</v>
      </c>
      <c r="B6" s="94"/>
      <c r="C6" s="14"/>
      <c r="D6" s="14"/>
      <c r="E6" s="14"/>
    </row>
    <row r="7" spans="1:31" x14ac:dyDescent="0.25">
      <c r="A7" s="93" t="s">
        <v>20</v>
      </c>
      <c r="B7" s="94"/>
      <c r="C7" s="14"/>
      <c r="D7" s="14"/>
      <c r="E7" s="14"/>
    </row>
    <row r="8" spans="1:31" x14ac:dyDescent="0.25">
      <c r="A8" s="15"/>
      <c r="B8" s="15"/>
      <c r="C8" s="15"/>
      <c r="D8" s="15"/>
      <c r="E8" s="15"/>
      <c r="AE8" s="13" t="s">
        <v>27</v>
      </c>
    </row>
    <row r="9" spans="1:31" ht="14.45" hidden="1" customHeight="1" x14ac:dyDescent="0.25">
      <c r="A9" s="15"/>
      <c r="B9" s="15" t="s">
        <v>9</v>
      </c>
      <c r="C9" s="16">
        <v>400</v>
      </c>
      <c r="E9" s="15"/>
      <c r="I9" s="98" t="s">
        <v>7</v>
      </c>
      <c r="J9" s="99"/>
      <c r="K9" s="99"/>
      <c r="L9" s="99"/>
      <c r="M9" s="99"/>
      <c r="N9" s="99"/>
      <c r="O9" s="99"/>
      <c r="P9" s="100"/>
      <c r="R9" s="71" t="s">
        <v>34</v>
      </c>
      <c r="S9" s="72"/>
      <c r="T9" s="72"/>
      <c r="U9" s="72"/>
      <c r="V9" s="72"/>
      <c r="W9" s="72"/>
      <c r="X9" s="72"/>
      <c r="Y9" s="73"/>
      <c r="AE9" s="13" t="s">
        <v>28</v>
      </c>
    </row>
    <row r="10" spans="1:31" ht="30.75" hidden="1" customHeight="1" thickBot="1" x14ac:dyDescent="0.3">
      <c r="A10" s="15"/>
      <c r="B10" s="15" t="s">
        <v>49</v>
      </c>
      <c r="C10" s="16">
        <v>500</v>
      </c>
      <c r="E10" s="15"/>
      <c r="I10" s="101"/>
      <c r="J10" s="102"/>
      <c r="K10" s="102"/>
      <c r="L10" s="102"/>
      <c r="M10" s="102"/>
      <c r="N10" s="102"/>
      <c r="O10" s="102"/>
      <c r="P10" s="103"/>
      <c r="R10" s="78"/>
      <c r="S10" s="75"/>
      <c r="T10" s="75"/>
      <c r="U10" s="75"/>
      <c r="V10" s="75"/>
      <c r="W10" s="75"/>
      <c r="X10" s="75"/>
      <c r="Y10" s="76"/>
      <c r="AE10" s="13" t="s">
        <v>29</v>
      </c>
    </row>
    <row r="11" spans="1:31" ht="24.75" hidden="1" customHeight="1" x14ac:dyDescent="0.3">
      <c r="A11" s="15"/>
      <c r="B11" s="13" t="s">
        <v>18</v>
      </c>
      <c r="C11" s="13">
        <v>0</v>
      </c>
      <c r="E11" s="15"/>
      <c r="I11" s="90" t="s">
        <v>8</v>
      </c>
      <c r="J11" s="84"/>
      <c r="K11" s="82" t="s">
        <v>11</v>
      </c>
      <c r="L11" s="84"/>
      <c r="M11" s="95" t="s">
        <v>12</v>
      </c>
      <c r="N11" s="96"/>
      <c r="O11" s="96"/>
      <c r="P11" s="97"/>
      <c r="R11" s="90" t="s">
        <v>22</v>
      </c>
      <c r="S11" s="84"/>
      <c r="T11" s="82" t="s">
        <v>23</v>
      </c>
      <c r="U11" s="83"/>
      <c r="V11" s="84"/>
      <c r="W11" s="95" t="s">
        <v>11</v>
      </c>
      <c r="X11" s="96"/>
      <c r="Y11" s="97"/>
      <c r="AE11" s="13" t="s">
        <v>30</v>
      </c>
    </row>
    <row r="12" spans="1:31" ht="24.75" hidden="1" customHeight="1" x14ac:dyDescent="0.25">
      <c r="A12" s="15"/>
      <c r="B12" s="15"/>
      <c r="C12" s="15"/>
      <c r="D12" s="15"/>
      <c r="E12" s="15"/>
      <c r="I12" s="33" t="s">
        <v>9</v>
      </c>
      <c r="J12" s="34"/>
      <c r="K12" s="88">
        <v>400</v>
      </c>
      <c r="L12" s="89"/>
      <c r="M12" s="85" t="s">
        <v>13</v>
      </c>
      <c r="N12" s="86"/>
      <c r="O12" s="86"/>
      <c r="P12" s="87"/>
      <c r="R12" s="33" t="s">
        <v>24</v>
      </c>
      <c r="S12" s="34"/>
      <c r="T12" s="37" t="s">
        <v>27</v>
      </c>
      <c r="U12" s="38"/>
      <c r="V12" s="39"/>
      <c r="W12" s="54">
        <v>15.5</v>
      </c>
      <c r="X12" s="55"/>
      <c r="Y12" s="56"/>
      <c r="AE12" s="13" t="s">
        <v>31</v>
      </c>
    </row>
    <row r="13" spans="1:31" ht="26.25" hidden="1" customHeight="1" thickBot="1" x14ac:dyDescent="0.3">
      <c r="A13" s="15"/>
      <c r="B13" s="15" t="s">
        <v>27</v>
      </c>
      <c r="C13" s="17">
        <v>15.5</v>
      </c>
      <c r="I13" s="35"/>
      <c r="J13" s="36"/>
      <c r="K13" s="48"/>
      <c r="L13" s="49"/>
      <c r="M13" s="43"/>
      <c r="N13" s="44"/>
      <c r="O13" s="44"/>
      <c r="P13" s="45"/>
      <c r="R13" s="52"/>
      <c r="S13" s="53"/>
      <c r="T13" s="37" t="s">
        <v>28</v>
      </c>
      <c r="U13" s="38"/>
      <c r="V13" s="39"/>
      <c r="W13" s="54">
        <v>15.5</v>
      </c>
      <c r="X13" s="55"/>
      <c r="Y13" s="56"/>
      <c r="AE13" s="13" t="s">
        <v>32</v>
      </c>
    </row>
    <row r="14" spans="1:31" ht="27.75" hidden="1" customHeight="1" x14ac:dyDescent="0.25">
      <c r="A14" s="15"/>
      <c r="B14" s="15" t="s">
        <v>28</v>
      </c>
      <c r="C14" s="17">
        <v>15.5</v>
      </c>
      <c r="I14" s="50" t="s">
        <v>10</v>
      </c>
      <c r="J14" s="51"/>
      <c r="K14" s="46">
        <v>500</v>
      </c>
      <c r="L14" s="47"/>
      <c r="M14" s="40" t="s">
        <v>14</v>
      </c>
      <c r="N14" s="41"/>
      <c r="O14" s="41"/>
      <c r="P14" s="42"/>
      <c r="R14" s="33" t="s">
        <v>25</v>
      </c>
      <c r="S14" s="34"/>
      <c r="T14" s="37" t="s">
        <v>29</v>
      </c>
      <c r="U14" s="38"/>
      <c r="V14" s="39"/>
      <c r="W14" s="54">
        <v>13.95</v>
      </c>
      <c r="X14" s="55"/>
      <c r="Y14" s="56"/>
      <c r="AE14" s="13" t="s">
        <v>18</v>
      </c>
    </row>
    <row r="15" spans="1:31" ht="26.25" hidden="1" customHeight="1" thickBot="1" x14ac:dyDescent="0.3">
      <c r="A15" s="15"/>
      <c r="B15" s="15" t="s">
        <v>29</v>
      </c>
      <c r="C15" s="17">
        <v>13.95</v>
      </c>
      <c r="I15" s="35"/>
      <c r="J15" s="36"/>
      <c r="K15" s="48"/>
      <c r="L15" s="49"/>
      <c r="M15" s="43"/>
      <c r="N15" s="44"/>
      <c r="O15" s="44"/>
      <c r="P15" s="45"/>
      <c r="R15" s="52"/>
      <c r="S15" s="53"/>
      <c r="T15" s="37" t="s">
        <v>30</v>
      </c>
      <c r="U15" s="38"/>
      <c r="V15" s="39"/>
      <c r="W15" s="54">
        <v>13.95</v>
      </c>
      <c r="X15" s="55"/>
      <c r="Y15" s="56"/>
    </row>
    <row r="16" spans="1:31" ht="24.75" hidden="1" customHeight="1" x14ac:dyDescent="0.25">
      <c r="A16" s="15"/>
      <c r="B16" s="15" t="s">
        <v>30</v>
      </c>
      <c r="C16" s="17">
        <v>13.95</v>
      </c>
      <c r="R16" s="33" t="s">
        <v>26</v>
      </c>
      <c r="S16" s="34"/>
      <c r="T16" s="37" t="s">
        <v>31</v>
      </c>
      <c r="U16" s="38"/>
      <c r="V16" s="39"/>
      <c r="W16" s="54">
        <v>10</v>
      </c>
      <c r="X16" s="55"/>
      <c r="Y16" s="56"/>
    </row>
    <row r="17" spans="1:25" ht="26.25" hidden="1" customHeight="1" thickBot="1" x14ac:dyDescent="0.3">
      <c r="A17" s="15"/>
      <c r="B17" s="15" t="s">
        <v>31</v>
      </c>
      <c r="C17" s="17">
        <v>10</v>
      </c>
      <c r="R17" s="35"/>
      <c r="S17" s="36"/>
      <c r="T17" s="68" t="s">
        <v>32</v>
      </c>
      <c r="U17" s="69"/>
      <c r="V17" s="70"/>
      <c r="W17" s="65">
        <v>10</v>
      </c>
      <c r="X17" s="66"/>
      <c r="Y17" s="67"/>
    </row>
    <row r="18" spans="1:25" ht="16.5" hidden="1" customHeight="1" x14ac:dyDescent="0.25">
      <c r="A18" s="15"/>
      <c r="B18" s="15" t="s">
        <v>32</v>
      </c>
      <c r="C18" s="17">
        <v>10</v>
      </c>
    </row>
    <row r="19" spans="1:25" ht="18" hidden="1" customHeight="1" thickBot="1" x14ac:dyDescent="0.3">
      <c r="A19" s="15"/>
      <c r="B19" s="15" t="s">
        <v>18</v>
      </c>
      <c r="C19" s="17">
        <v>0</v>
      </c>
      <c r="D19" s="15"/>
      <c r="E19" s="15"/>
    </row>
    <row r="20" spans="1:25" ht="12.75" hidden="1" customHeight="1" x14ac:dyDescent="0.25">
      <c r="A20" s="15"/>
      <c r="B20" s="15"/>
      <c r="C20" s="15"/>
      <c r="D20" s="15"/>
      <c r="E20" s="15"/>
      <c r="I20" s="71" t="s">
        <v>15</v>
      </c>
      <c r="J20" s="72"/>
      <c r="K20" s="72"/>
      <c r="L20" s="72"/>
      <c r="M20" s="72"/>
      <c r="N20" s="72"/>
      <c r="O20" s="72"/>
      <c r="P20" s="73"/>
      <c r="R20" s="71" t="s">
        <v>33</v>
      </c>
      <c r="S20" s="72"/>
      <c r="T20" s="72"/>
      <c r="U20" s="72"/>
      <c r="V20" s="72"/>
      <c r="W20" s="72"/>
      <c r="X20" s="72"/>
      <c r="Y20" s="73"/>
    </row>
    <row r="21" spans="1:25" ht="18" hidden="1" customHeight="1" thickBot="1" x14ac:dyDescent="0.3">
      <c r="A21" s="15"/>
      <c r="B21" s="15"/>
      <c r="C21" s="15"/>
      <c r="D21" s="15"/>
      <c r="E21" s="15"/>
      <c r="I21" s="78"/>
      <c r="J21" s="75"/>
      <c r="K21" s="75"/>
      <c r="L21" s="75"/>
      <c r="M21" s="75"/>
      <c r="N21" s="75"/>
      <c r="O21" s="75"/>
      <c r="P21" s="76"/>
      <c r="R21" s="74"/>
      <c r="S21" s="75"/>
      <c r="T21" s="75"/>
      <c r="U21" s="75"/>
      <c r="V21" s="75"/>
      <c r="W21" s="75"/>
      <c r="X21" s="75"/>
      <c r="Y21" s="76"/>
    </row>
    <row r="22" spans="1:25" ht="16.899999999999999" hidden="1" customHeight="1" x14ac:dyDescent="0.3">
      <c r="I22" s="130" t="s">
        <v>16</v>
      </c>
      <c r="J22" s="131"/>
      <c r="K22" s="132" t="s">
        <v>45</v>
      </c>
      <c r="L22" s="131"/>
      <c r="M22" s="18" t="s">
        <v>17</v>
      </c>
      <c r="N22" s="19"/>
      <c r="O22" s="133" t="s">
        <v>20</v>
      </c>
      <c r="P22" s="134"/>
      <c r="R22" s="20" t="s">
        <v>43</v>
      </c>
      <c r="S22" s="21" t="s">
        <v>23</v>
      </c>
      <c r="T22" s="128" t="s">
        <v>41</v>
      </c>
      <c r="U22" s="128"/>
      <c r="V22" s="128" t="s">
        <v>42</v>
      </c>
      <c r="W22" s="128"/>
      <c r="X22" s="128" t="s">
        <v>20</v>
      </c>
      <c r="Y22" s="129"/>
    </row>
    <row r="23" spans="1:25" ht="20.25" hidden="1" customHeight="1" x14ac:dyDescent="0.25">
      <c r="I23" s="121">
        <v>1</v>
      </c>
      <c r="J23" s="120"/>
      <c r="K23" s="22" t="s">
        <v>9</v>
      </c>
      <c r="L23" s="23">
        <f>IF(K23="",0,VLOOKUP(K23,Marquee,2,))</f>
        <v>400</v>
      </c>
      <c r="M23" s="119">
        <v>4</v>
      </c>
      <c r="N23" s="120"/>
      <c r="O23" s="80">
        <f>IF(M23=0,0,L23+(M23-1)*180)</f>
        <v>940</v>
      </c>
      <c r="P23" s="81"/>
      <c r="R23" s="24">
        <v>1</v>
      </c>
      <c r="S23" s="25" t="s">
        <v>27</v>
      </c>
      <c r="T23" s="60">
        <f>IF(S23="",0,VLOOKUP(S23,Meal,2,))</f>
        <v>15.5</v>
      </c>
      <c r="U23" s="62"/>
      <c r="V23" s="63">
        <v>2</v>
      </c>
      <c r="W23" s="64"/>
      <c r="X23" s="60">
        <f>T23*V23</f>
        <v>31</v>
      </c>
      <c r="Y23" s="61"/>
    </row>
    <row r="24" spans="1:25" ht="14.45" hidden="1" customHeight="1" x14ac:dyDescent="0.25">
      <c r="I24" s="122"/>
      <c r="J24" s="79"/>
      <c r="K24" s="77"/>
      <c r="L24" s="79"/>
      <c r="M24" s="77"/>
      <c r="N24" s="79"/>
      <c r="O24" s="77"/>
      <c r="P24" s="59"/>
      <c r="R24" s="57"/>
      <c r="S24" s="58"/>
      <c r="T24" s="58"/>
      <c r="U24" s="58"/>
      <c r="V24" s="58"/>
      <c r="W24" s="58"/>
      <c r="X24" s="58"/>
      <c r="Y24" s="59"/>
    </row>
    <row r="25" spans="1:25" ht="19.899999999999999" hidden="1" customHeight="1" x14ac:dyDescent="0.25">
      <c r="I25" s="121"/>
      <c r="J25" s="120"/>
      <c r="K25" s="22"/>
      <c r="L25" s="23"/>
      <c r="M25" s="119">
        <v>0</v>
      </c>
      <c r="N25" s="120"/>
      <c r="O25" s="80"/>
      <c r="P25" s="81"/>
      <c r="R25" s="26"/>
      <c r="S25" s="25"/>
      <c r="T25" s="60"/>
      <c r="U25" s="62"/>
      <c r="V25" s="77">
        <v>0</v>
      </c>
      <c r="W25" s="79"/>
      <c r="X25" s="60"/>
      <c r="Y25" s="61"/>
    </row>
    <row r="26" spans="1:25" ht="13.9" hidden="1" customHeight="1" x14ac:dyDescent="0.25">
      <c r="I26" s="122"/>
      <c r="J26" s="58"/>
      <c r="K26" s="58"/>
      <c r="L26" s="58"/>
      <c r="M26" s="58"/>
      <c r="N26" s="58"/>
      <c r="O26" s="58"/>
      <c r="P26" s="59"/>
      <c r="R26" s="57"/>
      <c r="S26" s="58"/>
      <c r="T26" s="58"/>
      <c r="U26" s="58"/>
      <c r="V26" s="58"/>
      <c r="W26" s="58"/>
      <c r="X26" s="58"/>
      <c r="Y26" s="59"/>
    </row>
    <row r="27" spans="1:25" ht="21" hidden="1" customHeight="1" x14ac:dyDescent="0.25">
      <c r="I27" s="121"/>
      <c r="J27" s="120"/>
      <c r="K27" s="22"/>
      <c r="L27" s="23"/>
      <c r="M27" s="119">
        <v>0</v>
      </c>
      <c r="N27" s="120"/>
      <c r="O27" s="80"/>
      <c r="P27" s="81"/>
      <c r="R27" s="26"/>
      <c r="S27" s="25"/>
      <c r="T27" s="60"/>
      <c r="U27" s="62"/>
      <c r="V27" s="77">
        <v>0</v>
      </c>
      <c r="W27" s="79"/>
      <c r="X27" s="60"/>
      <c r="Y27" s="61"/>
    </row>
    <row r="28" spans="1:25" ht="14.45" hidden="1" customHeight="1" x14ac:dyDescent="0.25">
      <c r="I28" s="122"/>
      <c r="J28" s="58"/>
      <c r="K28" s="58"/>
      <c r="L28" s="58"/>
      <c r="M28" s="58"/>
      <c r="N28" s="58"/>
      <c r="O28" s="58"/>
      <c r="P28" s="59"/>
      <c r="R28" s="122"/>
      <c r="S28" s="58"/>
      <c r="T28" s="58"/>
      <c r="U28" s="58"/>
      <c r="V28" s="58"/>
      <c r="W28" s="58"/>
      <c r="X28" s="58"/>
      <c r="Y28" s="59"/>
    </row>
    <row r="29" spans="1:25" ht="23.25" hidden="1" customHeight="1" x14ac:dyDescent="0.25">
      <c r="I29" s="121" t="s">
        <v>40</v>
      </c>
      <c r="J29" s="118"/>
      <c r="K29" s="118"/>
      <c r="L29" s="118"/>
      <c r="M29" s="120"/>
      <c r="N29" s="117">
        <f>O23+O25+O27</f>
        <v>940</v>
      </c>
      <c r="O29" s="138"/>
      <c r="P29" s="139"/>
      <c r="R29" s="121" t="s">
        <v>44</v>
      </c>
      <c r="S29" s="118"/>
      <c r="T29" s="118"/>
      <c r="U29" s="118"/>
      <c r="V29" s="120"/>
      <c r="W29" s="117">
        <f>X23+X25+X27</f>
        <v>31</v>
      </c>
      <c r="X29" s="138"/>
      <c r="Y29" s="139"/>
    </row>
    <row r="30" spans="1:25" ht="17.25" hidden="1" customHeight="1" thickBot="1" x14ac:dyDescent="0.3">
      <c r="I30" s="125"/>
      <c r="J30" s="126"/>
      <c r="K30" s="126"/>
      <c r="L30" s="126"/>
      <c r="M30" s="126"/>
      <c r="N30" s="126"/>
      <c r="O30" s="126"/>
      <c r="P30" s="127"/>
      <c r="R30" s="125"/>
      <c r="S30" s="126"/>
      <c r="T30" s="126"/>
      <c r="U30" s="126"/>
      <c r="V30" s="126"/>
      <c r="W30" s="126"/>
      <c r="X30" s="126"/>
      <c r="Y30" s="127"/>
    </row>
    <row r="31" spans="1:25" ht="14.45" hidden="1" customHeight="1" x14ac:dyDescent="0.25"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</row>
    <row r="32" spans="1:25" ht="14.45" hidden="1" customHeight="1" x14ac:dyDescent="0.25"/>
    <row r="33" ht="14.45" hidden="1" customHeight="1" x14ac:dyDescent="0.25"/>
    <row r="34" ht="14.45" hidden="1" customHeight="1" x14ac:dyDescent="0.25"/>
    <row r="35" ht="14.45" hidden="1" customHeight="1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t="14.45" hidden="1" customHeight="1" x14ac:dyDescent="0.25"/>
    <row r="43" ht="15" hidden="1" customHeight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20" hidden="1" x14ac:dyDescent="0.25"/>
    <row r="50" spans="13:20" hidden="1" x14ac:dyDescent="0.25"/>
    <row r="51" spans="13:20" hidden="1" x14ac:dyDescent="0.25"/>
    <row r="52" spans="13:20" hidden="1" x14ac:dyDescent="0.25"/>
    <row r="53" spans="13:20" hidden="1" x14ac:dyDescent="0.25"/>
    <row r="54" spans="13:20" x14ac:dyDescent="0.25"/>
    <row r="55" spans="13:20" x14ac:dyDescent="0.25"/>
    <row r="56" spans="13:20" ht="14.45" customHeight="1" x14ac:dyDescent="0.25"/>
    <row r="57" spans="13:20" ht="15" customHeight="1" x14ac:dyDescent="0.25"/>
    <row r="58" spans="13:20" x14ac:dyDescent="0.25"/>
    <row r="59" spans="13:20" ht="15.75" thickBot="1" x14ac:dyDescent="0.3"/>
    <row r="60" spans="13:20" x14ac:dyDescent="0.25">
      <c r="M60" s="108" t="s">
        <v>36</v>
      </c>
      <c r="N60" s="109"/>
      <c r="O60" s="109"/>
      <c r="P60" s="109"/>
      <c r="Q60" s="109"/>
      <c r="R60" s="109"/>
      <c r="S60" s="109"/>
      <c r="T60" s="110"/>
    </row>
    <row r="61" spans="13:20" ht="15.75" thickBot="1" x14ac:dyDescent="0.3">
      <c r="M61" s="111"/>
      <c r="N61" s="112"/>
      <c r="O61" s="112"/>
      <c r="P61" s="112"/>
      <c r="Q61" s="112"/>
      <c r="R61" s="112"/>
      <c r="S61" s="112"/>
      <c r="T61" s="113"/>
    </row>
    <row r="62" spans="13:20" ht="17.25" x14ac:dyDescent="0.3">
      <c r="M62" s="114" t="s">
        <v>53</v>
      </c>
      <c r="N62" s="115"/>
      <c r="O62" s="115"/>
      <c r="P62" s="115"/>
      <c r="Q62" s="115"/>
      <c r="R62" s="115"/>
      <c r="S62" s="115"/>
      <c r="T62" s="116"/>
    </row>
    <row r="63" spans="13:20" ht="18.75" x14ac:dyDescent="0.3">
      <c r="M63" s="27"/>
      <c r="N63" s="123" t="s">
        <v>21</v>
      </c>
      <c r="O63" s="123"/>
      <c r="P63" s="107" t="str">
        <f>A2</f>
        <v>Zameer</v>
      </c>
      <c r="Q63" s="107"/>
      <c r="R63" s="107"/>
      <c r="S63" s="107"/>
      <c r="T63" s="106"/>
    </row>
    <row r="64" spans="13:20" ht="18" customHeight="1" x14ac:dyDescent="0.3">
      <c r="M64" s="27"/>
      <c r="N64" s="123" t="s">
        <v>38</v>
      </c>
      <c r="O64" s="123"/>
      <c r="P64" s="105">
        <f>W29</f>
        <v>31</v>
      </c>
      <c r="Q64" s="105"/>
      <c r="R64" s="105"/>
      <c r="S64" s="105"/>
      <c r="T64" s="106"/>
    </row>
    <row r="65" spans="13:20" ht="18.600000000000001" customHeight="1" x14ac:dyDescent="0.3">
      <c r="M65" s="27"/>
      <c r="N65" s="123" t="s">
        <v>39</v>
      </c>
      <c r="O65" s="123"/>
      <c r="P65" s="105">
        <f>N29</f>
        <v>940</v>
      </c>
      <c r="Q65" s="105"/>
      <c r="R65" s="105"/>
      <c r="S65" s="105"/>
      <c r="T65" s="106"/>
    </row>
    <row r="66" spans="13:20" ht="18.75" x14ac:dyDescent="0.3">
      <c r="M66" s="27"/>
      <c r="N66" s="123" t="s">
        <v>4</v>
      </c>
      <c r="O66" s="123"/>
      <c r="P66" s="105">
        <f>0.02*(P64+P65)</f>
        <v>19.420000000000002</v>
      </c>
      <c r="Q66" s="105"/>
      <c r="R66" s="105"/>
      <c r="S66" s="105"/>
      <c r="T66" s="106"/>
    </row>
    <row r="67" spans="13:20" ht="18.75" x14ac:dyDescent="0.3">
      <c r="M67" s="27"/>
      <c r="N67" s="123" t="s">
        <v>20</v>
      </c>
      <c r="O67" s="123"/>
      <c r="P67" s="105">
        <f>P64+P65+P66</f>
        <v>990.42</v>
      </c>
      <c r="Q67" s="105"/>
      <c r="R67" s="105"/>
      <c r="S67" s="105"/>
      <c r="T67" s="106"/>
    </row>
    <row r="68" spans="13:20" ht="18.75" x14ac:dyDescent="0.3">
      <c r="M68" s="27"/>
      <c r="N68" s="28"/>
      <c r="O68" s="28"/>
      <c r="P68" s="29"/>
      <c r="Q68" s="29"/>
      <c r="R68" s="29"/>
      <c r="S68" s="28"/>
      <c r="T68" s="30"/>
    </row>
    <row r="69" spans="13:20" ht="17.25" thickBot="1" x14ac:dyDescent="0.3">
      <c r="M69" s="31"/>
      <c r="N69" s="44"/>
      <c r="O69" s="44"/>
      <c r="P69" s="44"/>
      <c r="Q69" s="44"/>
      <c r="R69" s="44"/>
      <c r="S69" s="44"/>
      <c r="T69" s="45"/>
    </row>
    <row r="70" spans="13:20" x14ac:dyDescent="0.25"/>
    <row r="71" spans="13:20" ht="18.600000000000001" customHeight="1" x14ac:dyDescent="0.25"/>
    <row r="72" spans="13:20" x14ac:dyDescent="0.25"/>
    <row r="73" spans="13:20" x14ac:dyDescent="0.25"/>
    <row r="247" spans="6:6" hidden="1" x14ac:dyDescent="0.25">
      <c r="F247" s="13" t="s">
        <v>54</v>
      </c>
    </row>
  </sheetData>
  <dataConsolidate>
    <dataRefs count="1">
      <dataRef ref="I12:J14" sheet="Main Menu" r:id="rId1"/>
    </dataRefs>
  </dataConsolidate>
  <mergeCells count="92">
    <mergeCell ref="I28:P28"/>
    <mergeCell ref="R28:Y28"/>
    <mergeCell ref="X22:Y22"/>
    <mergeCell ref="V22:W22"/>
    <mergeCell ref="T22:U22"/>
    <mergeCell ref="X27:Y27"/>
    <mergeCell ref="M23:N23"/>
    <mergeCell ref="M25:N25"/>
    <mergeCell ref="O23:P23"/>
    <mergeCell ref="I23:J23"/>
    <mergeCell ref="I22:J22"/>
    <mergeCell ref="K22:L22"/>
    <mergeCell ref="O22:P22"/>
    <mergeCell ref="I25:J25"/>
    <mergeCell ref="I24:J24"/>
    <mergeCell ref="K24:L24"/>
    <mergeCell ref="R29:V29"/>
    <mergeCell ref="N69:T69"/>
    <mergeCell ref="I26:P26"/>
    <mergeCell ref="N63:O63"/>
    <mergeCell ref="N64:O64"/>
    <mergeCell ref="N65:O65"/>
    <mergeCell ref="N66:O66"/>
    <mergeCell ref="N67:O67"/>
    <mergeCell ref="I27:J27"/>
    <mergeCell ref="I29:M29"/>
    <mergeCell ref="N29:P29"/>
    <mergeCell ref="J31:Y31"/>
    <mergeCell ref="R30:Y30"/>
    <mergeCell ref="I30:P30"/>
    <mergeCell ref="T27:U27"/>
    <mergeCell ref="V27:W27"/>
    <mergeCell ref="W11:Y11"/>
    <mergeCell ref="R24:Y24"/>
    <mergeCell ref="P67:S67"/>
    <mergeCell ref="P66:S66"/>
    <mergeCell ref="P65:S65"/>
    <mergeCell ref="P64:S64"/>
    <mergeCell ref="T63:T67"/>
    <mergeCell ref="P63:S63"/>
    <mergeCell ref="M60:T61"/>
    <mergeCell ref="M62:T62"/>
    <mergeCell ref="W29:Y29"/>
    <mergeCell ref="M27:N27"/>
    <mergeCell ref="X25:Y25"/>
    <mergeCell ref="V25:W25"/>
    <mergeCell ref="T25:U25"/>
    <mergeCell ref="O27:P27"/>
    <mergeCell ref="T11:V11"/>
    <mergeCell ref="M12:P13"/>
    <mergeCell ref="K12:L13"/>
    <mergeCell ref="R11:S11"/>
    <mergeCell ref="A1:AC1"/>
    <mergeCell ref="A2:E2"/>
    <mergeCell ref="A4:B4"/>
    <mergeCell ref="I11:J11"/>
    <mergeCell ref="K11:L11"/>
    <mergeCell ref="M11:P11"/>
    <mergeCell ref="I9:P10"/>
    <mergeCell ref="R9:Y10"/>
    <mergeCell ref="A7:B7"/>
    <mergeCell ref="A3:B3"/>
    <mergeCell ref="A6:B6"/>
    <mergeCell ref="A5:B5"/>
    <mergeCell ref="O24:P24"/>
    <mergeCell ref="W16:Y16"/>
    <mergeCell ref="I20:P21"/>
    <mergeCell ref="M24:N24"/>
    <mergeCell ref="O25:P25"/>
    <mergeCell ref="W15:Y15"/>
    <mergeCell ref="W14:Y14"/>
    <mergeCell ref="W13:Y13"/>
    <mergeCell ref="W12:Y12"/>
    <mergeCell ref="R26:Y26"/>
    <mergeCell ref="X23:Y23"/>
    <mergeCell ref="T23:U23"/>
    <mergeCell ref="V23:W23"/>
    <mergeCell ref="W17:Y17"/>
    <mergeCell ref="T17:V17"/>
    <mergeCell ref="R20:Y21"/>
    <mergeCell ref="T14:V14"/>
    <mergeCell ref="T13:V13"/>
    <mergeCell ref="R14:S15"/>
    <mergeCell ref="R16:S17"/>
    <mergeCell ref="I12:J13"/>
    <mergeCell ref="T16:V16"/>
    <mergeCell ref="T15:V15"/>
    <mergeCell ref="M14:P15"/>
    <mergeCell ref="K14:L15"/>
    <mergeCell ref="I14:J15"/>
    <mergeCell ref="T12:V12"/>
    <mergeCell ref="R12:S13"/>
  </mergeCells>
  <dataValidations count="3">
    <dataValidation type="list" allowBlank="1" showInputMessage="1" showErrorMessage="1" sqref="AE5 K27">
      <formula1>$AE$3:$AE$5</formula1>
    </dataValidation>
    <dataValidation type="list" allowBlank="1" showInputMessage="1" showErrorMessage="1" sqref="S23 S25 S27">
      <formula1>$AE$8:$AE$14</formula1>
    </dataValidation>
    <dataValidation type="list" allowBlank="1" showInputMessage="1" showErrorMessage="1" sqref="K23 K25">
      <formula1>M_Size</formula1>
    </dataValidation>
  </dataValidation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"/>
  <sheetViews>
    <sheetView showGridLines="0" topLeftCell="A34" workbookViewId="0">
      <selection activeCell="G13" sqref="G13:H13"/>
    </sheetView>
  </sheetViews>
  <sheetFormatPr defaultColWidth="0" defaultRowHeight="15" x14ac:dyDescent="0.25"/>
  <cols>
    <col min="1" max="1" width="14.140625" style="6" customWidth="1"/>
    <col min="2" max="2" width="13.140625" style="10" customWidth="1"/>
    <col min="3" max="3" width="16.7109375" style="6" customWidth="1"/>
    <col min="4" max="4" width="13.28515625" style="10" customWidth="1"/>
    <col min="5" max="5" width="26.7109375" style="6" customWidth="1"/>
    <col min="6" max="6" width="14.7109375" style="12" customWidth="1"/>
    <col min="7" max="7" width="10.28515625" style="8" customWidth="1"/>
    <col min="8" max="8" width="12.7109375" style="12" customWidth="1"/>
    <col min="9" max="16384" width="8.85546875" hidden="1"/>
  </cols>
  <sheetData>
    <row r="1" spans="1:8" s="3" customFormat="1" ht="25.15" customHeight="1" x14ac:dyDescent="0.4">
      <c r="A1" s="135" t="s">
        <v>1</v>
      </c>
      <c r="B1" s="136"/>
      <c r="C1" s="137"/>
      <c r="D1" s="136"/>
      <c r="E1" s="137"/>
      <c r="F1" s="136"/>
      <c r="G1" s="137"/>
      <c r="H1" s="136"/>
    </row>
    <row r="2" spans="1:8" s="2" customFormat="1" x14ac:dyDescent="0.25">
      <c r="A2" s="5" t="s">
        <v>21</v>
      </c>
      <c r="B2" s="9" t="s">
        <v>5</v>
      </c>
      <c r="C2" s="5" t="s">
        <v>46</v>
      </c>
      <c r="D2" s="9" t="s">
        <v>6</v>
      </c>
      <c r="E2" s="5" t="s">
        <v>35</v>
      </c>
      <c r="F2" s="11" t="s">
        <v>37</v>
      </c>
      <c r="G2" s="7" t="s">
        <v>47</v>
      </c>
      <c r="H2" s="11" t="s">
        <v>20</v>
      </c>
    </row>
    <row r="3" spans="1:8" s="2" customFormat="1" x14ac:dyDescent="0.25">
      <c r="A3" s="5"/>
      <c r="B3" s="9"/>
      <c r="C3" s="5"/>
      <c r="D3" s="9"/>
      <c r="E3" s="5"/>
      <c r="F3" s="11"/>
      <c r="G3" s="7"/>
      <c r="H3" s="11"/>
    </row>
    <row r="4" spans="1:8" s="2" customFormat="1" x14ac:dyDescent="0.25">
      <c r="A4" s="5" t="s">
        <v>55</v>
      </c>
      <c r="B4" s="9" t="s">
        <v>56</v>
      </c>
      <c r="C4" s="5">
        <v>83463456308</v>
      </c>
      <c r="D4" s="9" t="s">
        <v>59</v>
      </c>
      <c r="E4" s="5" t="s">
        <v>60</v>
      </c>
      <c r="F4" s="11">
        <v>31</v>
      </c>
      <c r="G4" s="7">
        <v>940</v>
      </c>
      <c r="H4" s="11">
        <v>990.42</v>
      </c>
    </row>
    <row r="5" spans="1:8" s="2" customFormat="1" x14ac:dyDescent="0.25">
      <c r="A5" s="5"/>
      <c r="B5" s="9"/>
      <c r="C5" s="5"/>
      <c r="D5" s="9"/>
      <c r="E5" s="5"/>
      <c r="F5" s="11"/>
      <c r="G5" s="7"/>
      <c r="H5" s="11"/>
    </row>
    <row r="6" spans="1:8" s="2" customFormat="1" x14ac:dyDescent="0.25">
      <c r="A6" s="5" t="s">
        <v>55</v>
      </c>
      <c r="B6" s="9" t="s">
        <v>56</v>
      </c>
      <c r="C6" s="5">
        <v>7634584359</v>
      </c>
      <c r="D6" s="9" t="s">
        <v>57</v>
      </c>
      <c r="E6" s="5" t="s">
        <v>58</v>
      </c>
      <c r="F6" s="11">
        <v>31</v>
      </c>
      <c r="G6" s="7">
        <v>940</v>
      </c>
      <c r="H6" s="11">
        <v>990.42</v>
      </c>
    </row>
    <row r="7" spans="1:8" s="2" customFormat="1" x14ac:dyDescent="0.25">
      <c r="A7" s="5"/>
      <c r="B7" s="9"/>
      <c r="C7" s="5"/>
      <c r="D7" s="9"/>
      <c r="E7" s="5"/>
      <c r="F7" s="11"/>
      <c r="G7" s="7"/>
      <c r="H7" s="11"/>
    </row>
    <row r="8" spans="1:8" s="2" customFormat="1" x14ac:dyDescent="0.25">
      <c r="A8" s="5"/>
      <c r="B8" s="9"/>
      <c r="C8" s="5"/>
      <c r="D8" s="9"/>
      <c r="E8" s="5"/>
      <c r="F8" s="11"/>
      <c r="G8" s="7"/>
      <c r="H8" s="11"/>
    </row>
    <row r="9" spans="1:8" s="2" customFormat="1" x14ac:dyDescent="0.25">
      <c r="A9" s="5"/>
      <c r="B9" s="9"/>
      <c r="C9" s="5"/>
      <c r="D9" s="9"/>
      <c r="E9" s="5"/>
      <c r="F9" s="11"/>
      <c r="G9" s="7"/>
      <c r="H9" s="11"/>
    </row>
    <row r="10" spans="1:8" s="2" customFormat="1" x14ac:dyDescent="0.25">
      <c r="A10" s="5"/>
      <c r="B10" s="9"/>
      <c r="C10" s="5"/>
      <c r="D10" s="9"/>
      <c r="E10" s="5"/>
      <c r="F10" s="11"/>
      <c r="G10" s="7"/>
      <c r="H10" s="11"/>
    </row>
    <row r="11" spans="1:8" s="2" customFormat="1" x14ac:dyDescent="0.25">
      <c r="A11" s="5"/>
      <c r="B11" s="9"/>
      <c r="C11" s="5"/>
      <c r="D11" s="9"/>
      <c r="E11" s="5"/>
      <c r="F11" s="11"/>
      <c r="G11" s="7"/>
      <c r="H11" s="11"/>
    </row>
    <row r="12" spans="1:8" s="2" customFormat="1" x14ac:dyDescent="0.25">
      <c r="A12" s="5"/>
      <c r="B12" s="9"/>
      <c r="C12" s="5"/>
      <c r="D12" s="9"/>
      <c r="E12" s="5"/>
      <c r="F12" s="11"/>
      <c r="G12" s="7"/>
      <c r="H12" s="11"/>
    </row>
    <row r="13" spans="1:8" s="4" customFormat="1" x14ac:dyDescent="0.25">
      <c r="A13" s="5"/>
      <c r="B13" s="9"/>
      <c r="C13" s="5"/>
      <c r="D13" s="9"/>
      <c r="E13" s="5"/>
      <c r="F13" s="11"/>
      <c r="G13" s="7"/>
      <c r="H13" s="11"/>
    </row>
    <row r="14" spans="1:8" s="2" customFormat="1" x14ac:dyDescent="0.25">
      <c r="A14" s="5"/>
      <c r="B14" s="9"/>
      <c r="C14" s="5"/>
      <c r="D14" s="9"/>
      <c r="E14" s="5"/>
      <c r="F14" s="11"/>
      <c r="G14" s="7"/>
      <c r="H14" s="11"/>
    </row>
    <row r="15" spans="1:8" s="2" customFormat="1" x14ac:dyDescent="0.25">
      <c r="A15" s="5"/>
      <c r="B15" s="9"/>
      <c r="C15" s="5"/>
      <c r="D15" s="9"/>
      <c r="E15" s="5"/>
      <c r="F15" s="11"/>
      <c r="G15" s="7"/>
      <c r="H15" s="11"/>
    </row>
    <row r="16" spans="1:8" s="1" customFormat="1" x14ac:dyDescent="0.25">
      <c r="A16" s="5"/>
      <c r="B16" s="9"/>
      <c r="C16" s="5"/>
      <c r="D16" s="9"/>
      <c r="E16" s="5"/>
      <c r="F16" s="11"/>
      <c r="G16" s="7"/>
      <c r="H16" s="11"/>
    </row>
    <row r="17" spans="1:8" s="1" customFormat="1" x14ac:dyDescent="0.25">
      <c r="A17" s="5"/>
      <c r="B17" s="9"/>
      <c r="C17" s="5"/>
      <c r="D17" s="9"/>
      <c r="E17" s="5"/>
      <c r="F17" s="11"/>
      <c r="G17" s="7"/>
      <c r="H17" s="11"/>
    </row>
    <row r="18" spans="1:8" s="1" customFormat="1" x14ac:dyDescent="0.25">
      <c r="A18" s="5"/>
      <c r="B18" s="9"/>
      <c r="C18" s="5"/>
      <c r="D18" s="9"/>
      <c r="E18" s="5"/>
      <c r="F18" s="11"/>
      <c r="G18" s="7"/>
      <c r="H18" s="11"/>
    </row>
    <row r="19" spans="1:8" s="1" customFormat="1" x14ac:dyDescent="0.25">
      <c r="A19" s="5"/>
      <c r="B19" s="9"/>
      <c r="C19" s="5"/>
      <c r="D19" s="9"/>
      <c r="E19" s="5"/>
      <c r="F19" s="11"/>
      <c r="G19" s="7"/>
      <c r="H19" s="11"/>
    </row>
    <row r="20" spans="1:8" s="1" customFormat="1" x14ac:dyDescent="0.25">
      <c r="A20" s="5"/>
      <c r="B20" s="9"/>
      <c r="C20" s="5"/>
      <c r="D20" s="9"/>
      <c r="E20" s="5"/>
      <c r="F20" s="11"/>
      <c r="G20" s="7"/>
      <c r="H20" s="11"/>
    </row>
  </sheetData>
  <mergeCells count="1">
    <mergeCell ref="A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Main Menu</vt:lpstr>
      <vt:lpstr>Order</vt:lpstr>
      <vt:lpstr>M_Price</vt:lpstr>
      <vt:lpstr>M_Size</vt:lpstr>
      <vt:lpstr>Marquee</vt:lpstr>
      <vt:lpstr>Meal</vt:lpstr>
      <vt:lpstr>Meal_Prices</vt:lpstr>
      <vt:lpstr>Meals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2019-05-02T10:32:30Z</dcterms:modified>
</cp:coreProperties>
</file>